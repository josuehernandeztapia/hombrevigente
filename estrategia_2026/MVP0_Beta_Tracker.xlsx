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 Sprint" sheetId="1" state="visible" r:id="rId1"/>
    <sheet xmlns:r="http://schemas.openxmlformats.org/officeDocument/2006/relationships" name="Pipeline" sheetId="2" state="visible" r:id="rId2"/>
    <sheet xmlns:r="http://schemas.openxmlformats.org/officeDocument/2006/relationships" name="RAG Concierge" sheetId="3" state="visible" r:id="rId3"/>
    <sheet xmlns:r="http://schemas.openxmlformats.org/officeDocument/2006/relationships" name="Check-ins semanales" sheetId="4" state="visible" r:id="rId4"/>
    <sheet xmlns:r="http://schemas.openxmlformats.org/officeDocument/2006/relationships" name="Feedback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A1F1C"/>
      <sz val="16"/>
    </font>
    <font>
      <name val="Arial"/>
      <charset val="1"/>
      <family val="0"/>
      <i val="1"/>
      <color rgb="FF6B728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A1F1C"/>
      <sz val="10"/>
    </font>
    <font>
      <name val="Arial"/>
      <charset val="1"/>
      <family val="0"/>
      <b val="1"/>
      <color rgb="FF0E5A4A"/>
      <sz val="11"/>
    </font>
    <font>
      <name val="Arial"/>
      <b val="1"/>
      <sz val="14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FF0E5A4A"/>
        <bgColor rgb="FF008080"/>
      </patternFill>
    </fill>
    <fill>
      <patternFill patternType="solid">
        <fgColor rgb="FFF4F6F5"/>
        <bgColor rgb="FF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FFD5DBD8"/>
      </left>
      <right style="thin">
        <color rgb="FFD5DBD8"/>
      </right>
      <top style="thin">
        <color rgb="FFD5DBD8"/>
      </top>
      <bottom style="thin">
        <color rgb="FFD5DBD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0" borderId="0" pivotButton="0" quotePrefix="0" xfId="0"/>
    <xf numFmtId="0" fontId="10" fillId="4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10" fillId="4" borderId="0" applyAlignment="1" pivotButton="0" quotePrefix="0" xfId="0">
      <alignment wrapText="1"/>
    </xf>
    <xf numFmtId="0" fontId="6" fillId="2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6F5"/>
      <rgbColor rgb="FFCCFFFF"/>
      <rgbColor rgb="FF660066"/>
      <rgbColor rgb="FFFF8080"/>
      <rgbColor rgb="FF0066CC"/>
      <rgbColor rgb="FFD5DB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E5A4A"/>
      <rgbColor rgb="FF339966"/>
      <rgbColor rgb="FF003300"/>
      <rgbColor rgb="FF333300"/>
      <rgbColor rgb="FF993300"/>
      <rgbColor rgb="FF993366"/>
      <rgbColor rgb="FF333399"/>
      <rgbColor rgb="FF1A1F1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2" customWidth="1" style="11" min="1" max="1"/>
    <col width="12" customWidth="1" style="11" min="2" max="2"/>
    <col width="12" customWidth="1" style="11" min="3" max="3"/>
    <col width="6" customWidth="1" style="11" min="4" max="4"/>
  </cols>
  <sheetData>
    <row r="1">
      <c r="A1" s="12" t="inlineStr">
        <is>
          <t>Dashboard Sprint 01 — MVP-0 + RAG</t>
        </is>
      </c>
    </row>
    <row r="3">
      <c r="A3" s="13" t="inlineStr"/>
      <c r="B3" s="13" t="inlineStr">
        <is>
          <t>Meta</t>
        </is>
      </c>
      <c r="C3" s="13" t="inlineStr">
        <is>
          <t>Real</t>
        </is>
      </c>
      <c r="D3" s="13" t="inlineStr">
        <is>
          <t>✓</t>
        </is>
      </c>
    </row>
    <row r="4">
      <c r="A4" s="14" t="inlineStr">
        <is>
          <t>Invitaciones enviadas</t>
        </is>
      </c>
      <c r="B4" s="14" t="n">
        <v>10</v>
      </c>
      <c r="C4" s="14" t="inlineStr"/>
      <c r="D4" s="14" t="inlineStr"/>
    </row>
    <row r="5">
      <c r="A5" s="14" t="inlineStr">
        <is>
          <t>Confirmados (sí)</t>
        </is>
      </c>
      <c r="B5" s="14" t="n">
        <v>5</v>
      </c>
      <c r="C5" s="14" t="inlineStr"/>
      <c r="D5" s="14" t="inlineStr"/>
    </row>
    <row r="6">
      <c r="A6" s="14" t="inlineStr">
        <is>
          <t>Onboarding completado</t>
        </is>
      </c>
      <c r="B6" s="14" t="n">
        <v>3</v>
      </c>
      <c r="C6" s="14" t="inlineStr"/>
      <c r="D6" s="14" t="inlineStr"/>
    </row>
    <row r="7">
      <c r="A7" s="14" t="inlineStr">
        <is>
          <t>Protocolos entregados</t>
        </is>
      </c>
      <c r="B7" s="14" t="n">
        <v>2</v>
      </c>
      <c r="C7" s="14" t="inlineStr"/>
      <c r="D7" s="14" t="inlineStr"/>
    </row>
    <row r="8">
      <c r="A8" s="14" t="inlineStr">
        <is>
          <t>Consultas RAG (filas log)</t>
        </is>
      </c>
      <c r="B8" s="14" t="n">
        <v>20</v>
      </c>
      <c r="C8" s="14" t="inlineStr"/>
      <c r="D8" s="14" t="inlineStr"/>
    </row>
    <row r="9">
      <c r="A9" s="14" t="inlineStr">
        <is>
          <t>% auto + caveat (RAG)</t>
        </is>
      </c>
      <c r="B9" s="14" t="inlineStr">
        <is>
          <t>≥70%</t>
        </is>
      </c>
      <c r="C9" s="14" t="inlineStr"/>
      <c r="D9" s="14" t="inlineStr"/>
    </row>
    <row r="10">
      <c r="A10" s="14" t="inlineStr">
        <is>
          <t>Gaps promovidos</t>
        </is>
      </c>
      <c r="B10" s="14" t="n">
        <v>1</v>
      </c>
      <c r="C10" s="14" t="inlineStr">
        <is>
          <t>Caso #0 iniciado</t>
        </is>
      </c>
      <c r="D10" s="14" t="inlineStr">
        <is>
          <t>✓</t>
        </is>
      </c>
    </row>
    <row r="11">
      <c r="A11" s="14" t="inlineStr">
        <is>
          <t>Intención de pago (Feedback)</t>
        </is>
      </c>
      <c r="B11" s="14" t="n">
        <v>1</v>
      </c>
      <c r="C11" s="14" t="inlineStr"/>
      <c r="D11" s="14" t="inlineStr"/>
    </row>
    <row r="12">
      <c r="A12" s="14" t="inlineStr">
        <is>
          <t>Referido espontáneo</t>
        </is>
      </c>
      <c r="B12" s="14" t="n">
        <v>1</v>
      </c>
      <c r="C12" s="14" t="inlineStr"/>
      <c r="D12" s="14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14" min="1" max="1"/>
    <col width="18" customWidth="1" style="14" min="2" max="2"/>
    <col width="15" customWidth="1" style="14" min="3" max="3"/>
    <col width="6" customWidth="1" style="14" min="4" max="4"/>
    <col width="14" customWidth="1" style="14" min="5" max="5"/>
    <col width="20" customWidth="1" style="14" min="6" max="6"/>
    <col width="18" customWidth="1" style="14" min="7" max="7"/>
    <col width="16" customWidth="1" style="14" min="8" max="8"/>
    <col width="10" customWidth="1" style="14" min="9" max="10"/>
    <col width="13" customWidth="1" style="14" min="11" max="11"/>
    <col width="16" customWidth="1" style="14" min="12" max="12"/>
    <col width="13" customWidth="1" style="14" min="13" max="13"/>
    <col width="14" customWidth="1" style="14" min="14" max="14"/>
    <col width="28" customWidth="1" style="14" min="15" max="15"/>
  </cols>
  <sheetData>
    <row r="1" ht="19.7" customHeight="1" s="11">
      <c r="A1" s="15" t="inlineStr">
        <is>
          <t>Hombre Vigente — Tracker de Betas (MVP-0)</t>
        </is>
      </c>
    </row>
    <row r="2" ht="15" customHeight="1" s="11">
      <c r="A2" s="16" t="inlineStr">
        <is>
          <t>Seguimiento de los 5–10 betas (gratis a cambio de feedback). Llena una fila por persona.</t>
        </is>
      </c>
    </row>
    <row r="4" ht="30" customHeight="1" s="11">
      <c r="A4" s="17" t="inlineStr">
        <is>
          <t>#</t>
        </is>
      </c>
      <c r="B4" s="17" t="inlineStr">
        <is>
          <t>Nombre</t>
        </is>
      </c>
      <c r="C4" s="17" t="inlineStr">
        <is>
          <t>WhatsApp</t>
        </is>
      </c>
      <c r="D4" s="17" t="inlineStr">
        <is>
          <t>Edad</t>
        </is>
      </c>
      <c r="E4" s="17" t="inlineStr">
        <is>
          <t>Ciudad</t>
        </is>
      </c>
      <c r="F4" s="17" t="inlineStr">
        <is>
          <t>Objetivo principal</t>
        </is>
      </c>
      <c r="G4" s="17" t="inlineStr">
        <is>
          <t>Estado</t>
        </is>
      </c>
      <c r="H4" s="17" t="inlineStr">
        <is>
          <t>Bandera screening</t>
        </is>
      </c>
      <c r="I4" s="17" t="inlineStr">
        <is>
          <t>Datos: foto</t>
        </is>
      </c>
      <c r="J4" s="17" t="inlineStr">
        <is>
          <t>Datos: labs</t>
        </is>
      </c>
      <c r="K4" s="17" t="inlineStr">
        <is>
          <t>Datos: wearable</t>
        </is>
      </c>
      <c r="L4" s="17" t="inlineStr">
        <is>
          <t>Stack asignado</t>
        </is>
      </c>
      <c r="M4" s="17" t="inlineStr">
        <is>
          <t>Fecha entrega</t>
        </is>
      </c>
      <c r="N4" s="17" t="inlineStr">
        <is>
          <t>Revisado x médico</t>
        </is>
      </c>
      <c r="O4" s="17" t="inlineStr">
        <is>
          <t>Notas</t>
        </is>
      </c>
    </row>
    <row r="5" ht="15" customHeight="1" s="11">
      <c r="A5" s="26" t="n">
        <v>0</v>
      </c>
      <c r="B5" s="27" t="inlineStr">
        <is>
          <t>Juan Josué H. (Caso #0)</t>
        </is>
      </c>
      <c r="C5" s="26" t="inlineStr">
        <is>
          <t>completar</t>
        </is>
      </c>
      <c r="D5" s="26" t="inlineStr">
        <is>
          <t>completar</t>
        </is>
      </c>
      <c r="E5" s="26" t="inlineStr">
        <is>
          <t>Querétaro</t>
        </is>
      </c>
      <c r="F5" s="26" t="inlineStr">
        <is>
          <t>Ciática + energía + estética + longevidad</t>
        </is>
      </c>
      <c r="G5" s="26" t="inlineStr">
        <is>
          <t>Baseline en curso</t>
        </is>
      </c>
      <c r="H5" s="26" t="inlineStr">
        <is>
          <t>SÍ — psiq (litio/quetiapina) + antec. oncológico</t>
        </is>
      </c>
      <c r="I5" s="26" t="inlineStr">
        <is>
          <t>Pendiente</t>
        </is>
      </c>
      <c r="J5" s="26" t="inlineStr">
        <is>
          <t>Pendiente</t>
        </is>
      </c>
      <c r="K5" s="26" t="inlineStr">
        <is>
          <t>Pendiente</t>
        </is>
      </c>
      <c r="L5" s="26" t="inlineStr">
        <is>
          <t>Fase 0 (ver Caso0_Baseline.md)</t>
        </is>
      </c>
      <c r="M5" s="26" t="inlineStr"/>
      <c r="N5" s="26" t="inlineStr">
        <is>
          <t>Pendiente</t>
        </is>
      </c>
      <c r="O5" s="26" t="inlineStr">
        <is>
          <t>Caso #0 fundador · iniciado 2026-06-07 · MVP0_Caso0_Baseline.md</t>
        </is>
      </c>
    </row>
    <row r="6" ht="15" customHeight="1" s="11">
      <c r="A6" s="19" t="n">
        <v>2</v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</row>
    <row r="7" ht="15" customHeight="1" s="11">
      <c r="A7" s="18" t="n">
        <v>3</v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</row>
    <row r="8" ht="15" customHeight="1" s="11">
      <c r="A8" s="19" t="n">
        <v>4</v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</row>
    <row r="9" ht="15" customHeight="1" s="11">
      <c r="A9" s="18" t="n">
        <v>5</v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</row>
    <row r="10" ht="15" customHeight="1" s="11">
      <c r="A10" s="19" t="n">
        <v>6</v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</row>
    <row r="11" ht="15" customHeight="1" s="11">
      <c r="A11" s="18" t="n">
        <v>7</v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</row>
    <row r="12" ht="15" customHeight="1" s="11">
      <c r="A12" s="19" t="n">
        <v>8</v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</row>
    <row r="13" ht="15" customHeight="1" s="11">
      <c r="A13" s="18" t="n">
        <v>9</v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</row>
    <row r="14" ht="15" customHeight="1" s="11">
      <c r="A14" s="19" t="n">
        <v>10</v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</row>
  </sheetData>
  <dataValidations count="4">
    <dataValidation sqref="G5:G14" showDropDown="0" showInputMessage="0" showErrorMessage="0" allowBlank="1" type="list" errorStyle="stop" operator="between">
      <formula1>"Invitado,Onboarding enviado,Datos recibidos,En revisión médica,Protocolo entregado,Semana 1,Semana 2,Semana 3,Semana 4,Feedback recibido,Convertiría a pago,Referido,Abandonó"</formula1>
      <formula2>0</formula2>
    </dataValidation>
    <dataValidation sqref="I5:J14 N5:N14" showDropDown="0" showInputMessage="0" showErrorMessage="0" allowBlank="1" type="list" errorStyle="stop" operator="between">
      <formula1>"Sí,No"</formula1>
      <formula2>0</formula2>
    </dataValidation>
    <dataValidation sqref="H5:H14" showDropDown="0" showInputMessage="0" showErrorMessage="0" allowBlank="1" type="list" errorStyle="stop" operator="between">
      <formula1>"Ninguna,Requiere clearance"</formula1>
      <formula2>0</formula2>
    </dataValidation>
    <dataValidation sqref="L5:L14" showDropDown="0" showInputMessage="0" showErrorMessage="0" allowBlank="1" type="list" errorStyle="stop" operator="between">
      <formula1>"Glow,Wolverine,Metabolic,Combinación"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style="11" min="1" max="1"/>
    <col width="14" customWidth="1" style="11" min="2" max="2"/>
    <col width="40" customWidth="1" style="11" min="3" max="3"/>
    <col width="10" customWidth="1" style="11" min="4" max="4"/>
    <col width="12" customWidth="1" style="11" min="5" max="5"/>
    <col width="22" customWidth="1" style="11" min="6" max="6"/>
    <col width="14" customWidth="1" style="11" min="7" max="7"/>
    <col width="10" customWidth="1" style="11" min="8" max="8"/>
    <col width="10" customWidth="1" style="11" min="9" max="9"/>
    <col width="14" customWidth="1" style="11" min="10" max="10"/>
    <col width="28" customWidth="1" style="11" min="11" max="11"/>
  </cols>
  <sheetData>
    <row r="1">
      <c r="A1" s="12" t="inlineStr">
        <is>
          <t>RAG Concierge — Log de consultas (Sprint 01)</t>
        </is>
      </c>
    </row>
    <row r="2">
      <c r="A2" s="14" t="inlineStr">
        <is>
          <t>Una fila por pregunta pasada por concierge_mvp.py / hv-rag-api. decision_id = prod log.</t>
        </is>
      </c>
    </row>
    <row r="4">
      <c r="A4" s="20" t="inlineStr">
        <is>
          <t>Fecha</t>
        </is>
      </c>
      <c r="B4" s="20" t="inlineStr">
        <is>
          <t>Contacto</t>
        </is>
      </c>
      <c r="C4" s="20" t="inlineStr">
        <is>
          <t>Pregunta</t>
        </is>
      </c>
      <c r="D4" s="20" t="inlineStr">
        <is>
          <t>gate_path</t>
        </is>
      </c>
      <c r="E4" s="20" t="inlineStr">
        <is>
          <t>confidence</t>
        </is>
      </c>
      <c r="F4" s="20" t="inlineStr">
        <is>
          <t>top_service</t>
        </is>
      </c>
      <c r="G4" s="20" t="inlineStr">
        <is>
          <t>decision_id</t>
        </is>
      </c>
      <c r="H4" s="20" t="inlineStr">
        <is>
          <t>TTR (min)</t>
        </is>
      </c>
      <c r="I4" s="20" t="inlineStr">
        <is>
          <t>¿Editaste?</t>
        </is>
      </c>
      <c r="J4" s="20" t="inlineStr">
        <is>
          <t>Promovido después?</t>
        </is>
      </c>
      <c r="K4" s="20" t="inlineStr">
        <is>
          <t>Notas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14" min="1" max="1"/>
    <col width="9" customWidth="1" style="14" min="2" max="6"/>
    <col width="12" customWidth="1" style="14" min="7" max="8"/>
    <col width="34" customWidth="1" style="14" min="9" max="9"/>
  </cols>
  <sheetData>
    <row r="1" ht="19.7" customHeight="1" s="11">
      <c r="A1" s="15" t="inlineStr">
        <is>
          <t>Check-ins semanales</t>
        </is>
      </c>
    </row>
    <row r="2" ht="15" customHeight="1" s="11">
      <c r="A2" s="16" t="inlineStr">
        <is>
          <t>Escala 1–5. Una fila por beta por semana.</t>
        </is>
      </c>
    </row>
    <row r="4" ht="15" customHeight="1" s="11">
      <c r="A4" s="21" t="inlineStr">
        <is>
          <t>Nombre</t>
        </is>
      </c>
      <c r="B4" s="21" t="inlineStr">
        <is>
          <t>Semana</t>
        </is>
      </c>
      <c r="C4" s="21" t="inlineStr">
        <is>
          <t>Energía</t>
        </is>
      </c>
      <c r="D4" s="21" t="inlineStr">
        <is>
          <t>Sueño</t>
        </is>
      </c>
      <c r="E4" s="21" t="inlineStr">
        <is>
          <t>Ánimo</t>
        </is>
      </c>
      <c r="F4" s="21" t="inlineStr">
        <is>
          <t>Dolor</t>
        </is>
      </c>
      <c r="G4" s="21" t="inlineStr">
        <is>
          <t>Adherencia %</t>
        </is>
      </c>
      <c r="H4" s="21" t="inlineStr">
        <is>
          <t>Foto recibida</t>
        </is>
      </c>
      <c r="I4" s="21" t="inlineStr">
        <is>
          <t>Comentario del beta</t>
        </is>
      </c>
    </row>
    <row r="5" ht="15" customHeight="1" s="11">
      <c r="A5" s="18" t="inlineStr">
        <is>
          <t>Juan Josué (Caso #0)</t>
        </is>
      </c>
      <c r="B5" s="18" t="inlineStr">
        <is>
          <t>0 — baseline</t>
        </is>
      </c>
      <c r="C5" s="18" t="n"/>
      <c r="D5" s="18" t="n"/>
      <c r="E5" s="18" t="n"/>
      <c r="F5" s="18" t="n"/>
      <c r="G5" s="18" t="n"/>
      <c r="H5" s="18" t="inlineStr">
        <is>
          <t>Pendiente</t>
        </is>
      </c>
      <c r="I5" s="18" t="inlineStr">
        <is>
          <t>Día 0 — capturar antes de semana 1</t>
        </is>
      </c>
    </row>
    <row r="6" ht="15" customHeight="1" s="11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 ht="15" customHeight="1" s="11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</row>
    <row r="8" ht="15" customHeight="1" s="11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</row>
    <row r="9" ht="15" customHeight="1" s="11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</row>
    <row r="10" ht="15" customHeight="1" s="11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</row>
    <row r="11" ht="15" customHeight="1" s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</row>
    <row r="12" ht="15" customHeight="1" s="11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</row>
    <row r="13" ht="15" customHeight="1" s="11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</row>
    <row r="14" ht="15" customHeight="1" s="11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 ht="15" customHeight="1" s="11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</row>
    <row r="16" ht="15" customHeight="1" s="11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</row>
    <row r="17" ht="15" customHeight="1" s="11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</row>
    <row r="18" ht="15" customHeight="1" s="11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</row>
    <row r="19" ht="15" customHeight="1" s="11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</row>
    <row r="20" ht="15" customHeight="1" s="11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</row>
    <row r="21" ht="15" customHeight="1" s="1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</row>
    <row r="22" ht="15" customHeight="1" s="11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</row>
    <row r="23" ht="15" customHeight="1" s="11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</row>
    <row r="24" ht="15" customHeight="1" s="11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</row>
    <row r="25" ht="15" customHeight="1" s="11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</row>
    <row r="26" ht="15" customHeight="1" s="11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</row>
    <row r="27" ht="15" customHeight="1" s="11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</row>
    <row r="28" ht="15" customHeight="1" s="11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</row>
    <row r="29" ht="15" customHeight="1" s="11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</row>
    <row r="30" ht="15" customHeight="1" s="11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</row>
    <row r="31" ht="15" customHeight="1" s="1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</row>
    <row r="32" ht="15" customHeight="1" s="11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</row>
    <row r="33" ht="15" customHeight="1" s="11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</row>
    <row r="34" ht="15" customHeight="1" s="11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</row>
    <row r="35" ht="15" customHeight="1" s="11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</row>
    <row r="36" ht="15" customHeight="1" s="11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</row>
    <row r="37" ht="15" customHeight="1" s="11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</row>
    <row r="38" ht="15" customHeight="1" s="11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</row>
    <row r="39" ht="15" customHeight="1" s="11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</row>
    <row r="40" ht="15" customHeight="1" s="11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</row>
    <row r="41" ht="15" customHeight="1" s="1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</row>
    <row r="42" ht="15" customHeight="1" s="11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</row>
    <row r="43" ht="15" customHeight="1" s="11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</row>
    <row r="44" ht="15" customHeight="1" s="11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</sheetData>
  <dataValidations count="2">
    <dataValidation sqref="B5:B44" showDropDown="0" showInputMessage="0" showErrorMessage="0" allowBlank="1" type="list" errorStyle="stop" operator="between">
      <formula1>"1,2,3,4"</formula1>
      <formula2>0</formula2>
    </dataValidation>
    <dataValidation sqref="H5:H44" showDropDown="0" showInputMessage="0" showErrorMessage="0" allowBlank="1" type="list" errorStyle="stop" operator="between">
      <formula1>"Sí,No"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14" min="1" max="1"/>
    <col width="26" customWidth="1" style="14" min="2" max="2"/>
    <col width="24" customWidth="1" style="14" min="3" max="3"/>
    <col width="11" customWidth="1" style="14" min="4" max="4"/>
    <col width="14" customWidth="1" style="14" min="5" max="5"/>
    <col width="16" customWidth="1" style="14" min="6" max="7"/>
    <col width="20" customWidth="1" style="14" min="8" max="8"/>
  </cols>
  <sheetData>
    <row r="1" ht="19.7" customHeight="1" s="11">
      <c r="A1" s="15" t="inlineStr">
        <is>
          <t>Feedback final (semana 4) + intención de pago</t>
        </is>
      </c>
    </row>
    <row r="2" ht="15" customHeight="1" s="11">
      <c r="A2" s="16" t="inlineStr">
        <is>
          <t>La métrica clave del MVP-0: ¿perciben valor y pagarían?</t>
        </is>
      </c>
    </row>
    <row r="4" ht="27.75" customHeight="1" s="11">
      <c r="A4" s="17" t="inlineStr">
        <is>
          <t>Nombre</t>
        </is>
      </c>
      <c r="B4" s="17" t="inlineStr">
        <is>
          <t>¿Qué cambió? (bueno)</t>
        </is>
      </c>
      <c r="C4" s="17" t="inlineStr">
        <is>
          <t>¿Qué faltó?</t>
        </is>
      </c>
      <c r="D4" s="17" t="inlineStr">
        <is>
          <t>NPS (0-10)</t>
        </is>
      </c>
      <c r="E4" s="17" t="inlineStr">
        <is>
          <t>¿Pagaría? (Sí/No)</t>
        </is>
      </c>
      <c r="F4" s="17" t="inlineStr">
        <is>
          <t>¿Cuánto/mes? (MXN)</t>
        </is>
      </c>
      <c r="G4" s="17" t="inlineStr">
        <is>
          <t>¿Refirió a alguien?</t>
        </is>
      </c>
      <c r="H4" s="17" t="inlineStr">
        <is>
          <t>A quién</t>
        </is>
      </c>
    </row>
    <row r="5" ht="15" customHeight="1" s="11">
      <c r="A5" s="18" t="n"/>
      <c r="B5" s="18" t="n"/>
      <c r="C5" s="18" t="n"/>
      <c r="D5" s="18" t="n"/>
      <c r="E5" s="18" t="n"/>
      <c r="F5" s="18" t="n"/>
      <c r="G5" s="18" t="n"/>
      <c r="H5" s="18" t="n"/>
    </row>
    <row r="6" ht="15" customHeight="1" s="11">
      <c r="A6" s="19" t="n"/>
      <c r="B6" s="19" t="n"/>
      <c r="C6" s="19" t="n"/>
      <c r="D6" s="19" t="n"/>
      <c r="E6" s="19" t="n"/>
      <c r="F6" s="19" t="n"/>
      <c r="G6" s="19" t="n"/>
      <c r="H6" s="19" t="n"/>
    </row>
    <row r="7" ht="15" customHeight="1" s="11">
      <c r="A7" s="18" t="n"/>
      <c r="B7" s="18" t="n"/>
      <c r="C7" s="18" t="n"/>
      <c r="D7" s="18" t="n"/>
      <c r="E7" s="18" t="n"/>
      <c r="F7" s="18" t="n"/>
      <c r="G7" s="18" t="n"/>
      <c r="H7" s="18" t="n"/>
    </row>
    <row r="8" ht="15" customHeight="1" s="11">
      <c r="A8" s="19" t="n"/>
      <c r="B8" s="19" t="n"/>
      <c r="C8" s="19" t="n"/>
      <c r="D8" s="19" t="n"/>
      <c r="E8" s="19" t="n"/>
      <c r="F8" s="19" t="n"/>
      <c r="G8" s="19" t="n"/>
      <c r="H8" s="19" t="n"/>
    </row>
    <row r="9" ht="15" customHeight="1" s="11">
      <c r="A9" s="18" t="n"/>
      <c r="B9" s="18" t="n"/>
      <c r="C9" s="18" t="n"/>
      <c r="D9" s="18" t="n"/>
      <c r="E9" s="18" t="n"/>
      <c r="F9" s="18" t="n"/>
      <c r="G9" s="18" t="n"/>
      <c r="H9" s="18" t="n"/>
    </row>
    <row r="10" ht="15" customHeight="1" s="11">
      <c r="A10" s="19" t="n"/>
      <c r="B10" s="19" t="n"/>
      <c r="C10" s="19" t="n"/>
      <c r="D10" s="19" t="n"/>
      <c r="E10" s="19" t="n"/>
      <c r="F10" s="19" t="n"/>
      <c r="G10" s="19" t="n"/>
      <c r="H10" s="19" t="n"/>
    </row>
    <row r="11" ht="15" customHeight="1" s="11">
      <c r="A11" s="18" t="n"/>
      <c r="B11" s="18" t="n"/>
      <c r="C11" s="18" t="n"/>
      <c r="D11" s="18" t="n"/>
      <c r="E11" s="18" t="n"/>
      <c r="F11" s="18" t="n"/>
      <c r="G11" s="18" t="n"/>
      <c r="H11" s="18" t="n"/>
    </row>
    <row r="12" ht="15" customHeight="1" s="11">
      <c r="A12" s="19" t="n"/>
      <c r="B12" s="19" t="n"/>
      <c r="C12" s="19" t="n"/>
      <c r="D12" s="19" t="n"/>
      <c r="E12" s="19" t="n"/>
      <c r="F12" s="19" t="n"/>
      <c r="G12" s="19" t="n"/>
      <c r="H12" s="19" t="n"/>
    </row>
    <row r="13" ht="15" customHeight="1" s="11">
      <c r="A13" s="18" t="n"/>
      <c r="B13" s="18" t="n"/>
      <c r="C13" s="18" t="n"/>
      <c r="D13" s="18" t="n"/>
      <c r="E13" s="18" t="n"/>
      <c r="F13" s="18" t="n"/>
      <c r="G13" s="18" t="n"/>
      <c r="H13" s="18" t="n"/>
    </row>
    <row r="14" ht="15" customHeight="1" s="11">
      <c r="A14" s="19" t="n"/>
      <c r="B14" s="19" t="n"/>
      <c r="C14" s="19" t="n"/>
      <c r="D14" s="19" t="n"/>
      <c r="E14" s="19" t="n"/>
      <c r="F14" s="19" t="n"/>
      <c r="G14" s="19" t="n"/>
      <c r="H14" s="19" t="n"/>
    </row>
    <row r="17" ht="15" customHeight="1" s="11">
      <c r="A17" s="22" t="inlineStr">
        <is>
          <t>Resumen (se calcula solo)</t>
        </is>
      </c>
    </row>
    <row r="18" ht="15" customHeight="1" s="11">
      <c r="A18" s="23" t="inlineStr">
        <is>
          <t>Betas con feedback</t>
        </is>
      </c>
      <c r="D18" s="24">
        <f>COUNTA(A5:A14)</f>
        <v/>
      </c>
    </row>
    <row r="19" ht="15" customHeight="1" s="11">
      <c r="A19" s="23" t="inlineStr">
        <is>
          <t>NPS promedio</t>
        </is>
      </c>
      <c r="D19" s="24">
        <f>IFERROR(AVERAGE(D5:D14),0)</f>
        <v/>
      </c>
    </row>
    <row r="20" ht="15" customHeight="1" s="11">
      <c r="A20" s="23" t="inlineStr">
        <is>
          <t># que pagaría</t>
        </is>
      </c>
      <c r="D20" s="24">
        <f>COUNTIF(E5:E14,"Sí")</f>
        <v/>
      </c>
    </row>
    <row r="21" ht="15" customHeight="1" s="11">
      <c r="A21" s="23" t="inlineStr">
        <is>
          <t>Precio promedio sugerido (MXN/mes)</t>
        </is>
      </c>
      <c r="D21" s="25">
        <f>IFERROR(AVERAGEIF(E5:E14,"Sí",F5:F14),0)</f>
        <v/>
      </c>
    </row>
    <row r="22" ht="15" customHeight="1" s="11">
      <c r="A22" s="23" t="inlineStr">
        <is>
          <t># que refirió a alguien</t>
        </is>
      </c>
      <c r="D22" s="24">
        <f>COUNTIF(G5:G14,"Sí")</f>
        <v/>
      </c>
    </row>
  </sheetData>
  <dataValidations count="1">
    <dataValidation sqref="E5:E14 G5:G14" showDropDown="0" showInputMessage="0" showErrorMessage="0" allowBlank="1" type="list" errorStyle="stop" operator="between">
      <formula1>"Sí,No"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2026-06-07T15:35:00Z</dcterms:created>
  <dcterms:modified xmlns:dcterms="http://purl.org/dc/terms/" xmlns:xsi="http://www.w3.org/2001/XMLSchema-instance" xsi:type="dcterms:W3CDTF">2026-06-08T00:56:25Z</dcterms:modified>
  <cp:revision>0</cp:revision>
</cp:coreProperties>
</file>